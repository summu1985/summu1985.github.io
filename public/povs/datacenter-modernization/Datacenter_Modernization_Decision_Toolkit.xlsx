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dcb3301da42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tform Decision" sheetId="1" r:id="R3166b3970ef04f33"/>
    <x:sheet xmlns:r="http://schemas.openxmlformats.org/officeDocument/2006/relationships" name="Workload Placement" sheetId="2" r:id="R0653161ae8e345c2"/>
    <x:sheet xmlns:r="http://schemas.openxmlformats.org/officeDocument/2006/relationships" name="Migration Complexity" sheetId="3" r:id="R649b2737017d4e93"/>
    <x:sheet xmlns:r="http://schemas.openxmlformats.org/officeDocument/2006/relationships" name="Build Buy Consume" sheetId="4" r:id="Rf3b8718f78584d08"/>
    <x:sheet xmlns:r="http://schemas.openxmlformats.org/officeDocument/2006/relationships" name="TCO Framework" sheetId="5" r:id="R25ed921765b8454c"/>
    <x:sheet xmlns:r="http://schemas.openxmlformats.org/officeDocument/2006/relationships" name="Readiness Checklist" sheetId="6" r:id="R4425c1de12e9489c"/>
    <x:sheet xmlns:r="http://schemas.openxmlformats.org/officeDocument/2006/relationships" name="Migration Factory" sheetId="7" r:id="R3b3cea5cc1074d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6"/>
      <x:color rgb="FF151515"/>
      <x:name val="Carlito"/>
    </x:font>
    <x:font>
      <x:i/>
      <x:sz val="11"/>
      <x:color rgb="FF4D4D4D"/>
      <x:name val="Carlito"/>
    </x:font>
    <x:font>
      <x:b/>
      <x:sz val="11"/>
      <x:color rgb="FFFFFFFF"/>
      <x:name val="Carlito"/>
    </x:font>
    <x:font>
      <x:b/>
      <x:sz val="11"/>
      <x:color rgb="FF15151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E6E7E8"/>
      </x:patternFill>
    </x:fill>
    <x:fill>
      <x:patternFill patternType="solid">
        <x:fgColor rgb="FFF2F2F2"/>
      </x:patternFill>
    </x:fill>
    <x:fill>
      <x:patternFill patternType="solid">
        <x:fgColor rgb="FF1F2933"/>
      </x:patternFill>
    </x:fill>
    <x:fill>
      <x:patternFill patternType="solid">
        <x:fgColor rgb="FFD9D9D9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4" fillId="5" borderId="0" xfId="0" applyNumberFormat="1" applyFont="1" applyFill="1" applyBorder="1"/>
    <x:xf numFmtId="200" fontId="0" fillId="0" borderId="1" xfId="0" applyNumberFormat="1" applyFont="1" applyFill="1" applyBorder="1"/>
    <x:xf numFmtId="200" fontId="4" fillId="5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233c3f8be94fd8" /><Relationship Type="http://schemas.openxmlformats.org/officeDocument/2006/relationships/theme" Target="/xl/theme/theme1.xml" Id="Rd83373e2b9894bba" /><Relationship Type="http://schemas.openxmlformats.org/officeDocument/2006/relationships/sharedStrings" Target="/xl/sharedStrings.xml" Id="Reede1b93fed84605" /><Relationship Type="http://schemas.openxmlformats.org/officeDocument/2006/relationships/worksheet" Target="/xl/worksheets/sheet1.xml" Id="R3166b3970ef04f33" /><Relationship Type="http://schemas.openxmlformats.org/officeDocument/2006/relationships/worksheet" Target="/xl/worksheets/sheet2.xml" Id="R0653161ae8e345c2" /><Relationship Type="http://schemas.openxmlformats.org/officeDocument/2006/relationships/worksheet" Target="/xl/worksheets/sheet3.xml" Id="R649b2737017d4e93" /><Relationship Type="http://schemas.openxmlformats.org/officeDocument/2006/relationships/worksheet" Target="/xl/worksheets/sheet4.xml" Id="Rf3b8718f78584d08" /><Relationship Type="http://schemas.openxmlformats.org/officeDocument/2006/relationships/worksheet" Target="/xl/worksheets/sheet5.xml" Id="R25ed921765b8454c" /><Relationship Type="http://schemas.openxmlformats.org/officeDocument/2006/relationships/worksheet" Target="/xl/worksheets/sheet6.xml" Id="R4425c1de12e9489c" /><Relationship Type="http://schemas.openxmlformats.org/officeDocument/2006/relationships/worksheet" Target="/xl/worksheets/sheet7.xml" Id="R3b3cea5cc1074d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" hidden="0" customWidth="1"/>
    <x:col min="3" max="3" width="18" hidden="0" customWidth="1"/>
    <x:col min="4" max="4" width="18" hidden="0" customWidth="1"/>
    <x:col min="5" max="5" width="20" hidden="0" customWidth="1"/>
    <x:col min="6" max="6" width="16" hidden="0" customWidth="1"/>
    <x:col min="7" max="7" width="42" hidden="0" customWidth="1"/>
    <x:col min="8" max="8" width="30" hidden="0" customWidth="1"/>
  </x:cols>
  <x:sheetData>
    <x:row r="1">
      <x:c r="A1" s="26" t="str">
        <x:v>Virtualization vs Kubernetes vs Unified Platform - Decision Matrix</x:v>
      </x:c>
      <x:c r="B1" s="26"/>
      <x:c r="C1" s="26"/>
      <x:c r="D1" s="26"/>
      <x:c r="E1" s="26"/>
      <x:c r="F1" s="26"/>
      <x:c r="G1" s="26"/>
      <x:c r="H1" s="26"/>
    </x:row>
    <x:row r="2">
      <x:c r="A2" s="10" t="str">
        <x:v>Score each criterion 1 (weak fit) to 5 (strong fit). Change weights to reflect your organization. Scores are decision aids, not benchmarks.</x:v>
      </x:c>
      <x:c r="B2" s="10"/>
      <x:c r="C2" s="10"/>
      <x:c r="D2" s="10"/>
      <x:c r="E2" s="10"/>
      <x:c r="F2" s="10"/>
      <x:c r="G2" s="10"/>
      <x:c r="H2" s="10"/>
    </x:row>
    <x:row r="3">
      <x:c r="A3" s="27"/>
      <x:c r="B3" s="27"/>
      <x:c r="C3" s="27"/>
      <x:c r="D3" s="27"/>
      <x:c r="E3" s="27"/>
      <x:c r="F3" s="27"/>
      <x:c r="G3" s="27"/>
      <x:c r="H3" s="27"/>
    </x:row>
    <x:row r="4">
      <x:c r="A4" s="17" t="str">
        <x:v>Criterion</x:v>
      </x:c>
      <x:c r="B4" s="17" t="str">
        <x:v>Weight</x:v>
      </x:c>
      <x:c r="C4" s="17" t="str">
        <x:v>Virtualization-centric</x:v>
      </x:c>
      <x:c r="D4" s="17" t="str">
        <x:v>Kubernetes-centric</x:v>
      </x:c>
      <x:c r="E4" s="17" t="str">
        <x:v>Unified VM + container</x:v>
      </x:c>
      <x:c r="F4" s="17" t="str">
        <x:v>Mixed estate</x:v>
      </x:c>
      <x:c r="G4" s="17" t="str">
        <x:v>Why it matters</x:v>
      </x:c>
      <x:c r="H4" s="17" t="str">
        <x:v>Evidence / notes</x:v>
      </x:c>
    </x:row>
    <x:row r="5">
      <x:c r="A5" s="27" t="str">
        <x:v>VM estate remains large</x:v>
      </x:c>
      <x:c r="B5" s="27" t="n">
        <x:v>5</x:v>
      </x:c>
      <x:c r="C5" s="27" t="n">
        <x:v>5</x:v>
      </x:c>
      <x:c r="D5" s="27" t="n">
        <x:v>2</x:v>
      </x:c>
      <x:c r="E5" s="27" t="n">
        <x:v>5</x:v>
      </x:c>
      <x:c r="F5" s="27" t="n">
        <x:v>5</x:v>
      </x:c>
      <x:c r="G5" s="27" t="str">
        <x:v>Large VM estates favor VM-capable targets.</x:v>
      </x:c>
      <x:c r="H5" s="27" t="str"/>
    </x:row>
    <x:row r="6">
      <x:c r="A6" s="27" t="str">
        <x:v>New application container adoption</x:v>
      </x:c>
      <x:c r="B6" s="27" t="n">
        <x:v>4</x:v>
      </x:c>
      <x:c r="C6" s="27" t="n">
        <x:v>2</x:v>
      </x:c>
      <x:c r="D6" s="27" t="n">
        <x:v>5</x:v>
      </x:c>
      <x:c r="E6" s="27" t="n">
        <x:v>5</x:v>
      </x:c>
      <x:c r="F6" s="27" t="n">
        <x:v>5</x:v>
      </x:c>
      <x:c r="G6" s="27" t="str">
        <x:v>Indicates need for Kubernetes/application platform capabilities.</x:v>
      </x:c>
      <x:c r="H6" s="27" t="str"/>
    </x:row>
    <x:row r="7">
      <x:c r="A7" s="27" t="str">
        <x:v>Need to decouple migration from app modernization</x:v>
      </x:c>
      <x:c r="B7" s="27" t="n">
        <x:v>5</x:v>
      </x:c>
      <x:c r="C7" s="27" t="n">
        <x:v>3</x:v>
      </x:c>
      <x:c r="D7" s="27" t="n">
        <x:v>2</x:v>
      </x:c>
      <x:c r="E7" s="27" t="n">
        <x:v>5</x:v>
      </x:c>
      <x:c r="F7" s="27" t="n">
        <x:v>4</x:v>
      </x:c>
      <x:c r="G7" s="27" t="str">
        <x:v>Unified VM/container can rehost first and modernize later.</x:v>
      </x:c>
      <x:c r="H7" s="27" t="str"/>
    </x:row>
    <x:row r="8">
      <x:c r="A8" s="27" t="str">
        <x:v>Existing Kubernetes/platform engineering maturity</x:v>
      </x:c>
      <x:c r="B8" s="27" t="n">
        <x:v>4</x:v>
      </x:c>
      <x:c r="C8" s="27" t="n">
        <x:v>2</x:v>
      </x:c>
      <x:c r="D8" s="27" t="n">
        <x:v>5</x:v>
      </x:c>
      <x:c r="E8" s="27" t="n">
        <x:v>4</x:v>
      </x:c>
      <x:c r="F8" s="27" t="n">
        <x:v>4</x:v>
      </x:c>
      <x:c r="G8" s="27" t="str">
        <x:v>Operational maturity affects feasibility and risk.</x:v>
      </x:c>
      <x:c r="H8" s="27" t="str"/>
    </x:row>
    <x:row r="9">
      <x:c r="A9" s="27" t="str">
        <x:v>Need to minimize near-term transformation</x:v>
      </x:c>
      <x:c r="B9" s="27" t="n">
        <x:v>4</x:v>
      </x:c>
      <x:c r="C9" s="27" t="n">
        <x:v>5</x:v>
      </x:c>
      <x:c r="D9" s="27" t="n">
        <x:v>2</x:v>
      </x:c>
      <x:c r="E9" s="27" t="n">
        <x:v>4</x:v>
      </x:c>
      <x:c r="F9" s="27" t="n">
        <x:v>5</x:v>
      </x:c>
      <x:c r="G9" s="27" t="str">
        <x:v>Hypervisor-centric or mixed approaches can reduce forced change.</x:v>
      </x:c>
      <x:c r="H9" s="27" t="str"/>
    </x:row>
    <x:row r="10">
      <x:c r="A10" s="27" t="str">
        <x:v>Desire to consolidate VM and container operations</x:v>
      </x:c>
      <x:c r="B10" s="27" t="n">
        <x:v>4</x:v>
      </x:c>
      <x:c r="C10" s="27" t="n">
        <x:v>1</x:v>
      </x:c>
      <x:c r="D10" s="27" t="n">
        <x:v>2</x:v>
      </x:c>
      <x:c r="E10" s="27" t="n">
        <x:v>5</x:v>
      </x:c>
      <x:c r="F10" s="27" t="n">
        <x:v>3</x:v>
      </x:c>
      <x:c r="G10" s="27" t="str">
        <x:v>Convergence has value only if common operations are desired.</x:v>
      </x:c>
      <x:c r="H10" s="27" t="str"/>
    </x:row>
    <x:row r="11">
      <x:c r="A11" s="27" t="str">
        <x:v>Specialized legacy/hardware dependencies</x:v>
      </x:c>
      <x:c r="B11" s="27" t="n">
        <x:v>3</x:v>
      </x:c>
      <x:c r="C11" s="27" t="n">
        <x:v>5</x:v>
      </x:c>
      <x:c r="D11" s="27" t="n">
        <x:v>1</x:v>
      </x:c>
      <x:c r="E11" s="27" t="n">
        <x:v>3</x:v>
      </x:c>
      <x:c r="F11" s="27" t="n">
        <x:v>5</x:v>
      </x:c>
      <x:c r="G11" s="27" t="str">
        <x:v>Some workloads may require conventional virtualization or bare metal.</x:v>
      </x:c>
      <x:c r="H11" s="27" t="str"/>
    </x:row>
    <x:row r="12">
      <x:c r="A12" s="27" t="str">
        <x:v>Developer self-service / platform engineering priority</x:v>
      </x:c>
      <x:c r="B12" s="27" t="n">
        <x:v>3</x:v>
      </x:c>
      <x:c r="C12" s="27" t="n">
        <x:v>1</x:v>
      </x:c>
      <x:c r="D12" s="27" t="n">
        <x:v>5</x:v>
      </x:c>
      <x:c r="E12" s="27" t="n">
        <x:v>5</x:v>
      </x:c>
      <x:c r="F12" s="27" t="n">
        <x:v>4</x:v>
      </x:c>
      <x:c r="G12" s="27" t="str">
        <x:v>Kubernetes-oriented platforms can enable reusable application services.</x:v>
      </x:c>
      <x:c r="H12" s="27" t="str"/>
    </x:row>
    <x:row r="13">
      <x:c r="A13" s="27" t="str">
        <x:v>Short migration deadline / forcing event</x:v>
      </x:c>
      <x:c r="B13" s="27" t="n">
        <x:v>4</x:v>
      </x:c>
      <x:c r="C13" s="27" t="n">
        <x:v>5</x:v>
      </x:c>
      <x:c r="D13" s="27" t="n">
        <x:v>2</x:v>
      </x:c>
      <x:c r="E13" s="27" t="n">
        <x:v>4</x:v>
      </x:c>
      <x:c r="F13" s="27" t="n">
        <x:v>5</x:v>
      </x:c>
      <x:c r="G13" s="27" t="str">
        <x:v>Time pressure may favor rehost before transformation.</x:v>
      </x:c>
      <x:c r="H13" s="27" t="str"/>
    </x:row>
    <x:row r="14">
      <x:c r="A14" s="27" t="str">
        <x:v>Tolerance for multiple infrastructure platforms</x:v>
      </x:c>
      <x:c r="B14" s="27" t="n">
        <x:v>3</x:v>
      </x:c>
      <x:c r="C14" s="27" t="n">
        <x:v>2</x:v>
      </x:c>
      <x:c r="D14" s="27" t="n">
        <x:v>4</x:v>
      </x:c>
      <x:c r="E14" s="27" t="n">
        <x:v>5</x:v>
      </x:c>
      <x:c r="F14" s="27" t="n">
        <x:v>5</x:v>
      </x:c>
      <x:c r="G14" s="27" t="str">
        <x:v>Mixed estates trade standardization for workload fit.</x:v>
      </x:c>
      <x:c r="H14" s="27" t="str"/>
    </x:row>
    <x:row r="15">
      <x:c r="A15" s="28" t="str">
        <x:v>Weighted score</x:v>
      </x:c>
      <x:c r="B15" s="28" t="str"/>
      <x:c r="C15" s="28" t="n">
        <x:f>SUMPRODUCT($B$5:$B$14,C$5:C$14)</x:f>
        <x:v>124</x:v>
      </x:c>
      <x:c r="D15" s="28" t="n">
        <x:f>SUMPRODUCT($B$5:$B$14,D$5:D$14)</x:f>
        <x:v>114</x:v>
      </x:c>
      <x:c r="E15" s="28" t="n">
        <x:f>SUMPRODUCT($B$5:$B$14,E$5:E$14)</x:f>
        <x:v>177</x:v>
      </x:c>
      <x:c r="F15" s="28" t="n">
        <x:f>SUMPRODUCT($B$5:$B$14,F$5:F$14)</x:f>
        <x:v>175</x:v>
      </x:c>
      <x:c r="G15" s="28" t="str"/>
      <x:c r="H15" s="28" t="str"/>
    </x:row>
    <x:row r="16">
      <x:c r="A16" s="27"/>
      <x:c r="B16" s="27"/>
      <x:c r="C16" s="27"/>
      <x:c r="D16" s="27"/>
      <x:c r="E16" s="27"/>
      <x:c r="F16" s="27"/>
      <x:c r="G16" s="27"/>
      <x:c r="H16" s="27"/>
    </x:row>
    <x:row r="17">
      <x:c r="A17" s="27"/>
      <x:c r="B17" s="27"/>
      <x:c r="C17" s="27"/>
      <x:c r="D17" s="27"/>
      <x:c r="E17" s="27"/>
      <x:c r="F17" s="27"/>
      <x:c r="G17" s="27"/>
      <x:c r="H17" s="27"/>
    </x:row>
    <x:row r="18">
      <x:c r="A18" s="27"/>
      <x:c r="B18" s="27"/>
      <x:c r="C18" s="27"/>
      <x:c r="D18" s="27"/>
      <x:c r="E18" s="27"/>
      <x:c r="F18" s="27"/>
      <x:c r="G18" s="27"/>
      <x:c r="H18" s="27"/>
    </x:row>
    <x:row r="19">
      <x:c r="A19" s="27"/>
      <x:c r="B19" s="27"/>
      <x:c r="C19" s="27"/>
      <x:c r="D19" s="27"/>
      <x:c r="E19" s="27"/>
      <x:c r="F19" s="27"/>
      <x:c r="G19" s="27"/>
      <x:c r="H19" s="27"/>
    </x:row>
    <x:row r="20">
      <x:c r="A20" s="27"/>
      <x:c r="B20" s="27"/>
      <x:c r="C20" s="27"/>
      <x:c r="D20" s="27"/>
      <x:c r="E20" s="27"/>
      <x:c r="F20" s="27"/>
      <x:c r="G20" s="27"/>
      <x:c r="H20" s="27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8" hidden="0" customWidth="1"/>
    <x:col min="5" max="5" width="16" hidden="0" customWidth="1"/>
    <x:col min="6" max="6" width="20" hidden="0" customWidth="1"/>
    <x:col min="7" max="7" width="12" hidden="0" customWidth="1"/>
    <x:col min="8" max="8" width="12" hidden="0" customWidth="1"/>
    <x:col min="9" max="9" width="14" hidden="0" customWidth="1"/>
    <x:col min="10" max="10" width="30" hidden="0" customWidth="1"/>
    <x:col min="11" max="11" width="36" hidden="0" customWidth="1"/>
    <x:col min="12" max="12" width="18" hidden="0" customWidth="1"/>
  </x:cols>
  <x:sheetData>
    <x:row r="1">
      <x:c r="A1" s="26" t="str">
        <x:v>Workload Placement &amp; Disposition Worksheet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</x:row>
    <x:row r="3">
      <x:c r="A3" s="17" t="str">
        <x:v>Application / workload</x:v>
      </x:c>
      <x:c r="B3" s="17" t="str">
        <x:v>Business criticality</x:v>
      </x:c>
      <x:c r="C3" s="17" t="str">
        <x:v>Disposition</x:v>
      </x:c>
      <x:c r="D3" s="17" t="str">
        <x:v>Execution model</x:v>
      </x:c>
      <x:c r="E3" s="17" t="str">
        <x:v>Placement</x:v>
      </x:c>
      <x:c r="F3" s="17" t="str">
        <x:v>Consumption model</x:v>
      </x:c>
      <x:c r="G3" s="17" t="str">
        <x:v>Observed CPU</x:v>
      </x:c>
      <x:c r="H3" s="17" t="str">
        <x:v>Observed RAM</x:v>
      </x:c>
      <x:c r="I3" s="17" t="str">
        <x:v>RPO/RTO</x:v>
      </x:c>
      <x:c r="J3" s="17" t="str">
        <x:v>Key dependencies</x:v>
      </x:c>
      <x:c r="K3" s="17" t="str">
        <x:v>Decision rationale</x:v>
      </x:c>
      <x:c r="L3" s="17" t="str">
        <x:v>Owner</x:v>
      </x:c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</x:row>
    <x:row r="5">
      <x:c r="A5" s="27"/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</x:row>
    <x:row r="6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</x:row>
    <x:row r="7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</x:row>
    <x:row r="8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</x:row>
  </x:sheetData>
  <x:mergeCells>
    <x:mergeCell ref="A1:L1"/>
  </x:mergeCells>
  <x:dataValidations count="5">
    <x:dataValidation type="list" sqref="B4:B103">
      <x:formula1>"Low,Medium,High,Mission critical"</x:formula1>
    </x:dataValidation>
    <x:dataValidation type="list" sqref="C4:C103">
      <x:formula1>"Retain,Rehost,Replatform,Refactor,Replace,Retire"</x:formula1>
    </x:dataValidation>
    <x:dataValidation type="list" sqref="D4:D103">
      <x:formula1>"VM,Container,Bare metal,SaaS / managed app"</x:formula1>
    </x:dataValidation>
    <x:dataValidation type="list" sqref="E4:E103">
      <x:formula1>"Private DC,Colocation,Public cloud,Edge,Hybrid"</x:formula1>
    </x:dataValidation>
    <x:dataValidation type="list" sqref="F4:F103">
      <x:formula1>"DIY / self-operated,Enterprise-supported,Managed service"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5" hidden="0" customWidth="1"/>
    <x:col min="5" max="5" width="16" hidden="0" customWidth="1"/>
    <x:col min="6" max="6" width="15" hidden="0" customWidth="1"/>
    <x:col min="7" max="7" width="12" hidden="0" customWidth="1"/>
    <x:col min="8" max="8" width="14" hidden="0" customWidth="1"/>
    <x:col min="9" max="9" width="12" hidden="0" customWidth="1"/>
    <x:col min="10" max="10" width="14" hidden="0" customWidth="1"/>
    <x:col min="11" max="11" width="10" hidden="0" customWidth="1"/>
    <x:col min="12" max="12" width="14" hidden="0" customWidth="1"/>
  </x:cols>
  <x:sheetData>
    <x:row r="1">
      <x:c r="A1" s="26" t="str">
        <x:v>Migration Complexity Scoring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</x:row>
    <x:row r="2">
      <x:c r="A2" s="10" t="str">
        <x:v>Enter 1 (low) to 5 (high). Complexity bands are planning heuristics and should be calibrated with pilot evidence.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</x:row>
    <x:row r="4">
      <x:c r="A4" s="17" t="str">
        <x:v>Application / group</x:v>
      </x:c>
      <x:c r="B4" s="17" t="str">
        <x:v>App complexity</x:v>
      </x:c>
      <x:c r="C4" s="17" t="str">
        <x:v>Dependencies</x:v>
      </x:c>
      <x:c r="D4" s="17" t="str">
        <x:v>Data volume/change</x:v>
      </x:c>
      <x:c r="E4" s="17" t="str">
        <x:v>Downtime sensitivity</x:v>
      </x:c>
      <x:c r="F4" s="17" t="str">
        <x:v>Network/security</x:v>
      </x:c>
      <x:c r="G4" s="17" t="str">
        <x:v>Compliance</x:v>
      </x:c>
      <x:c r="H4" s="17" t="str">
        <x:v>Transformation</x:v>
      </x:c>
      <x:c r="I4" s="17" t="str">
        <x:v>Testing</x:v>
      </x:c>
      <x:c r="J4" s="17" t="str">
        <x:v>Owner uncertainty</x:v>
      </x:c>
      <x:c r="K4" s="17" t="str">
        <x:v>Total</x:v>
      </x:c>
      <x:c r="L4" s="17" t="str">
        <x:v>Band</x:v>
      </x:c>
    </x:row>
    <x:row r="5">
      <x:c r="A5" s="27"/>
      <x:c r="B5" s="27"/>
      <x:c r="C5" s="27"/>
      <x:c r="D5" s="27"/>
      <x:c r="E5" s="27"/>
      <x:c r="F5" s="27"/>
      <x:c r="G5" s="27"/>
      <x:c r="H5" s="27"/>
      <x:c r="I5" s="27"/>
      <x:c r="J5" s="27"/>
      <x:c r="K5" s="27" t="n">
        <x:f>SUM(B5:J5)</x:f>
        <x:v>0</x:v>
      </x:c>
      <x:c r="L5" s="27" t="str">
        <x:f>IF(K5="","",IF(K5&lt;=17,"Low",IF(K5&lt;=27,"Medium",IF(K5&lt;=36,"High","Very high"))))</x:f>
      </x:c>
    </x:row>
    <x:row r="6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 t="n">
        <x:f>SUM(B6:J6)</x:f>
        <x:v>0</x:v>
      </x:c>
      <x:c r="L6" s="27" t="str">
        <x:f>IF(K6="","",IF(K6&lt;=17,"Low",IF(K6&lt;=27,"Medium",IF(K6&lt;=36,"High","Very high"))))</x:f>
      </x:c>
    </x:row>
    <x:row r="7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 t="n">
        <x:f>SUM(B7:J7)</x:f>
        <x:v>0</x:v>
      </x:c>
      <x:c r="L7" s="27" t="str">
        <x:f>IF(K7="","",IF(K7&lt;=17,"Low",IF(K7&lt;=27,"Medium",IF(K7&lt;=36,"High","Very high"))))</x:f>
      </x:c>
    </x:row>
    <x:row r="8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 t="n">
        <x:f>SUM(B8:J8)</x:f>
        <x:v>0</x:v>
      </x:c>
      <x:c r="L8" s="27" t="str">
        <x:f>IF(K8="","",IF(K8&lt;=17,"Low",IF(K8&lt;=27,"Medium",IF(K8&lt;=36,"High","Very high"))))</x:f>
      </x:c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 t="n">
        <x:f>SUM(B9:J9)</x:f>
        <x:v>0</x:v>
      </x:c>
      <x:c r="L9" s="27" t="str">
        <x:f>IF(K9="","",IF(K9&lt;=17,"Low",IF(K9&lt;=27,"Medium",IF(K9&lt;=36,"High","Very high"))))</x:f>
      </x:c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 t="n">
        <x:f>SUM(B10:J10)</x:f>
        <x:v>0</x:v>
      </x:c>
      <x:c r="L10" s="27" t="str">
        <x:f>IF(K10="","",IF(K10&lt;=17,"Low",IF(K10&lt;=27,"Medium",IF(K10&lt;=36,"High","Very high"))))</x:f>
      </x:c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 t="n">
        <x:f>SUM(B11:J11)</x:f>
        <x:v>0</x:v>
      </x:c>
      <x:c r="L11" s="27" t="str">
        <x:f>IF(K11="","",IF(K11&lt;=17,"Low",IF(K11&lt;=27,"Medium",IF(K11&lt;=36,"High","Very high"))))</x:f>
      </x:c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 t="n">
        <x:f>SUM(B12:J12)</x:f>
        <x:v>0</x:v>
      </x:c>
      <x:c r="L12" s="27" t="str">
        <x:f>IF(K12="","",IF(K12&lt;=17,"Low",IF(K12&lt;=27,"Medium",IF(K12&lt;=36,"High","Very high"))))</x:f>
      </x:c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 t="n">
        <x:f>SUM(B13:J13)</x:f>
        <x:v>0</x:v>
      </x:c>
      <x:c r="L13" s="27" t="str">
        <x:f>IF(K13="","",IF(K13&lt;=17,"Low",IF(K13&lt;=27,"Medium",IF(K13&lt;=36,"High","Very high"))))</x:f>
      </x:c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 t="n">
        <x:f>SUM(B14:J14)</x:f>
        <x:v>0</x:v>
      </x:c>
      <x:c r="L14" s="27" t="str">
        <x:f>IF(K14="","",IF(K14&lt;=17,"Low",IF(K14&lt;=27,"Medium",IF(K14&lt;=36,"High","Very high"))))</x:f>
      </x:c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 t="n">
        <x:f>SUM(B15:J15)</x:f>
        <x:v>0</x:v>
      </x:c>
      <x:c r="L15" s="27" t="str">
        <x:f>IF(K15="","",IF(K15&lt;=17,"Low",IF(K15&lt;=27,"Medium",IF(K15&lt;=36,"High","Very high"))))</x:f>
      </x:c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 t="n">
        <x:f>SUM(B16:J16)</x:f>
        <x:v>0</x:v>
      </x:c>
      <x:c r="L16" s="27" t="str">
        <x:f>IF(K16="","",IF(K16&lt;=17,"Low",IF(K16&lt;=27,"Medium",IF(K16&lt;=36,"High","Very high"))))</x:f>
      </x:c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 t="n">
        <x:f>SUM(B17:J17)</x:f>
        <x:v>0</x:v>
      </x:c>
      <x:c r="L17" s="27" t="str">
        <x:f>IF(K17="","",IF(K17&lt;=17,"Low",IF(K17&lt;=27,"Medium",IF(K17&lt;=36,"High","Very high"))))</x:f>
      </x:c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 t="n">
        <x:f>SUM(B18:J18)</x:f>
        <x:v>0</x:v>
      </x:c>
      <x:c r="L18" s="27" t="str">
        <x:f>IF(K18="","",IF(K18&lt;=17,"Low",IF(K18&lt;=27,"Medium",IF(K18&lt;=36,"High","Very high"))))</x:f>
      </x:c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 t="n">
        <x:f>SUM(B19:J19)</x:f>
        <x:v>0</x:v>
      </x:c>
      <x:c r="L19" s="27" t="str">
        <x:f>IF(K19="","",IF(K19&lt;=17,"Low",IF(K19&lt;=27,"Medium",IF(K19&lt;=36,"High","Very high"))))</x:f>
      </x:c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 t="n">
        <x:f>SUM(B20:J20)</x:f>
        <x:v>0</x:v>
      </x:c>
      <x:c r="L20" s="27" t="str">
        <x:f>IF(K20="","",IF(K20&lt;=17,"Low",IF(K20&lt;=27,"Medium",IF(K20&lt;=36,"High","Very high"))))</x:f>
      </x:c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 t="n">
        <x:f>SUM(B21:J21)</x:f>
        <x:v>0</x:v>
      </x:c>
      <x:c r="L21" s="27" t="str">
        <x:f>IF(K21="","",IF(K21&lt;=17,"Low",IF(K21&lt;=27,"Medium",IF(K21&lt;=36,"High","Very high"))))</x:f>
      </x:c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 t="n">
        <x:f>SUM(B22:J22)</x:f>
        <x:v>0</x:v>
      </x:c>
      <x:c r="L22" s="27" t="str">
        <x:f>IF(K22="","",IF(K22&lt;=17,"Low",IF(K22&lt;=27,"Medium",IF(K22&lt;=36,"High","Very high"))))</x:f>
      </x:c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 t="n">
        <x:f>SUM(B23:J23)</x:f>
        <x:v>0</x:v>
      </x:c>
      <x:c r="L23" s="27" t="str">
        <x:f>IF(K23="","",IF(K23&lt;=17,"Low",IF(K23&lt;=27,"Medium",IF(K23&lt;=36,"High","Very high"))))</x:f>
      </x:c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 t="n">
        <x:f>SUM(B24:J24)</x:f>
        <x:v>0</x:v>
      </x:c>
      <x:c r="L24" s="27" t="str">
        <x:f>IF(K24="","",IF(K24&lt;=17,"Low",IF(K24&lt;=27,"Medium",IF(K24&lt;=36,"High","Very high"))))</x:f>
      </x:c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 t="n">
        <x:f>SUM(B25:J25)</x:f>
        <x:v>0</x:v>
      </x:c>
      <x:c r="L25" s="27" t="str">
        <x:f>IF(K25="","",IF(K25&lt;=17,"Low",IF(K25&lt;=27,"Medium",IF(K25&lt;=36,"High","Very high"))))</x:f>
      </x:c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 t="n">
        <x:f>SUM(B26:J26)</x:f>
        <x:v>0</x:v>
      </x:c>
      <x:c r="L26" s="27" t="str">
        <x:f>IF(K26="","",IF(K26&lt;=17,"Low",IF(K26&lt;=27,"Medium",IF(K26&lt;=36,"High","Very high"))))</x:f>
      </x:c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 t="n">
        <x:f>SUM(B27:J27)</x:f>
        <x:v>0</x:v>
      </x:c>
      <x:c r="L27" s="27" t="str">
        <x:f>IF(K27="","",IF(K27&lt;=17,"Low",IF(K27&lt;=27,"Medium",IF(K27&lt;=36,"High","Very high"))))</x:f>
      </x:c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 t="n">
        <x:f>SUM(B28:J28)</x:f>
        <x:v>0</x:v>
      </x:c>
      <x:c r="L28" s="27" t="str">
        <x:f>IF(K28="","",IF(K28&lt;=17,"Low",IF(K28&lt;=27,"Medium",IF(K28&lt;=36,"High","Very high"))))</x:f>
      </x:c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 t="n">
        <x:f>SUM(B29:J29)</x:f>
        <x:v>0</x:v>
      </x:c>
      <x:c r="L29" s="27" t="str">
        <x:f>IF(K29="","",IF(K29&lt;=17,"Low",IF(K29&lt;=27,"Medium",IF(K29&lt;=36,"High","Very high"))))</x:f>
      </x:c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 t="n">
        <x:f>SUM(B30:J30)</x:f>
        <x:v>0</x:v>
      </x:c>
      <x:c r="L30" s="27" t="str">
        <x:f>IF(K30="","",IF(K30&lt;=17,"Low",IF(K30&lt;=27,"Medium",IF(K30&lt;=36,"High","Very high"))))</x:f>
      </x:c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 t="n">
        <x:f>SUM(B31:J31)</x:f>
        <x:v>0</x:v>
      </x:c>
      <x:c r="L31" s="27" t="str">
        <x:f>IF(K31="","",IF(K31&lt;=17,"Low",IF(K31&lt;=27,"Medium",IF(K31&lt;=36,"High","Very high"))))</x:f>
      </x:c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 t="n">
        <x:f>SUM(B32:J32)</x:f>
        <x:v>0</x:v>
      </x:c>
      <x:c r="L32" s="27" t="str">
        <x:f>IF(K32="","",IF(K32&lt;=17,"Low",IF(K32&lt;=27,"Medium",IF(K32&lt;=36,"High","Very high"))))</x:f>
      </x:c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 t="n">
        <x:f>SUM(B33:J33)</x:f>
        <x:v>0</x:v>
      </x:c>
      <x:c r="L33" s="27" t="str">
        <x:f>IF(K33="","",IF(K33&lt;=17,"Low",IF(K33&lt;=27,"Medium",IF(K33&lt;=36,"High","Very high"))))</x:f>
      </x:c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 t="n">
        <x:f>SUM(B34:J34)</x:f>
        <x:v>0</x:v>
      </x:c>
      <x:c r="L34" s="27" t="str">
        <x:f>IF(K34="","",IF(K34&lt;=17,"Low",IF(K34&lt;=27,"Medium",IF(K34&lt;=36,"High","Very high"))))</x:f>
      </x:c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 t="n">
        <x:f>SUM(B35:J35)</x:f>
        <x:v>0</x:v>
      </x:c>
      <x:c r="L35" s="27" t="str">
        <x:f>IF(K35="","",IF(K35&lt;=17,"Low",IF(K35&lt;=27,"Medium",IF(K35&lt;=36,"High","Very high"))))</x:f>
      </x:c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 t="n">
        <x:f>SUM(B36:J36)</x:f>
        <x:v>0</x:v>
      </x:c>
      <x:c r="L36" s="27" t="str">
        <x:f>IF(K36="","",IF(K36&lt;=17,"Low",IF(K36&lt;=27,"Medium",IF(K36&lt;=36,"High","Very high"))))</x:f>
      </x:c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 t="n">
        <x:f>SUM(B37:J37)</x:f>
        <x:v>0</x:v>
      </x:c>
      <x:c r="L37" s="27" t="str">
        <x:f>IF(K37="","",IF(K37&lt;=17,"Low",IF(K37&lt;=27,"Medium",IF(K37&lt;=36,"High","Very high"))))</x:f>
      </x:c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 t="n">
        <x:f>SUM(B38:J38)</x:f>
        <x:v>0</x:v>
      </x:c>
      <x:c r="L38" s="27" t="str">
        <x:f>IF(K38="","",IF(K38&lt;=17,"Low",IF(K38&lt;=27,"Medium",IF(K38&lt;=36,"High","Very high"))))</x:f>
      </x:c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 t="n">
        <x:f>SUM(B39:J39)</x:f>
        <x:v>0</x:v>
      </x:c>
      <x:c r="L39" s="27" t="str">
        <x:f>IF(K39="","",IF(K39&lt;=17,"Low",IF(K39&lt;=27,"Medium",IF(K39&lt;=36,"High","Very high"))))</x:f>
      </x:c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 t="n">
        <x:f>SUM(B40:J40)</x:f>
        <x:v>0</x:v>
      </x:c>
      <x:c r="L40" s="27" t="str">
        <x:f>IF(K40="","",IF(K40&lt;=17,"Low",IF(K40&lt;=27,"Medium",IF(K40&lt;=36,"High","Very high"))))</x:f>
      </x:c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 t="n">
        <x:f>SUM(B41:J41)</x:f>
        <x:v>0</x:v>
      </x:c>
      <x:c r="L41" s="27" t="str">
        <x:f>IF(K41="","",IF(K41&lt;=17,"Low",IF(K41&lt;=27,"Medium",IF(K41&lt;=36,"High","Very high"))))</x:f>
      </x:c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 t="n">
        <x:f>SUM(B42:J42)</x:f>
        <x:v>0</x:v>
      </x:c>
      <x:c r="L42" s="27" t="str">
        <x:f>IF(K42="","",IF(K42&lt;=17,"Low",IF(K42&lt;=27,"Medium",IF(K42&lt;=36,"High","Very high"))))</x:f>
      </x:c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 t="n">
        <x:f>SUM(B43:J43)</x:f>
        <x:v>0</x:v>
      </x:c>
      <x:c r="L43" s="27" t="str">
        <x:f>IF(K43="","",IF(K43&lt;=17,"Low",IF(K43&lt;=27,"Medium",IF(K43&lt;=36,"High","Very high"))))</x:f>
      </x:c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 t="n">
        <x:f>SUM(B44:J44)</x:f>
        <x:v>0</x:v>
      </x:c>
      <x:c r="L44" s="27" t="str">
        <x:f>IF(K44="","",IF(K44&lt;=17,"Low",IF(K44&lt;=27,"Medium",IF(K44&lt;=36,"High","Very high"))))</x:f>
      </x:c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 t="n">
        <x:f>SUM(B45:J45)</x:f>
        <x:v>0</x:v>
      </x:c>
      <x:c r="L45" s="27" t="str">
        <x:f>IF(K45="","",IF(K45&lt;=17,"Low",IF(K45&lt;=27,"Medium",IF(K45&lt;=36,"High","Very high"))))</x:f>
      </x:c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 t="n">
        <x:f>SUM(B46:J46)</x:f>
        <x:v>0</x:v>
      </x:c>
      <x:c r="L46" s="27" t="str">
        <x:f>IF(K46="","",IF(K46&lt;=17,"Low",IF(K46&lt;=27,"Medium",IF(K46&lt;=36,"High","Very high"))))</x:f>
      </x:c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 t="n">
        <x:f>SUM(B47:J47)</x:f>
        <x:v>0</x:v>
      </x:c>
      <x:c r="L47" s="27" t="str">
        <x:f>IF(K47="","",IF(K47&lt;=17,"Low",IF(K47&lt;=27,"Medium",IF(K47&lt;=36,"High","Very high"))))</x:f>
      </x:c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 t="n">
        <x:f>SUM(B48:J48)</x:f>
        <x:v>0</x:v>
      </x:c>
      <x:c r="L48" s="27" t="str">
        <x:f>IF(K48="","",IF(K48&lt;=17,"Low",IF(K48&lt;=27,"Medium",IF(K48&lt;=36,"High","Very high"))))</x:f>
      </x:c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 t="n">
        <x:f>SUM(B49:J49)</x:f>
        <x:v>0</x:v>
      </x:c>
      <x:c r="L49" s="27" t="str">
        <x:f>IF(K49="","",IF(K49&lt;=17,"Low",IF(K49&lt;=27,"Medium",IF(K49&lt;=36,"High","Very high"))))</x:f>
      </x:c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 t="n">
        <x:f>SUM(B50:J50)</x:f>
        <x:v>0</x:v>
      </x:c>
      <x:c r="L50" s="27" t="str">
        <x:f>IF(K50="","",IF(K50&lt;=17,"Low",IF(K50&lt;=27,"Medium",IF(K50&lt;=36,"High","Very high"))))</x:f>
      </x:c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 t="n">
        <x:f>SUM(B51:J51)</x:f>
        <x:v>0</x:v>
      </x:c>
      <x:c r="L51" s="27" t="str">
        <x:f>IF(K51="","",IF(K51&lt;=17,"Low",IF(K51&lt;=27,"Medium",IF(K51&lt;=36,"High","Very high"))))</x:f>
      </x:c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 t="n">
        <x:f>SUM(B52:J52)</x:f>
        <x:v>0</x:v>
      </x:c>
      <x:c r="L52" s="27" t="str">
        <x:f>IF(K52="","",IF(K52&lt;=17,"Low",IF(K52&lt;=27,"Medium",IF(K52&lt;=36,"High","Very high"))))</x:f>
      </x:c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 t="n">
        <x:f>SUM(B53:J53)</x:f>
        <x:v>0</x:v>
      </x:c>
      <x:c r="L53" s="27" t="str">
        <x:f>IF(K53="","",IF(K53&lt;=17,"Low",IF(K53&lt;=27,"Medium",IF(K53&lt;=36,"High","Very high"))))</x:f>
      </x:c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 t="n">
        <x:f>SUM(B54:J54)</x:f>
        <x:v>0</x:v>
      </x:c>
      <x:c r="L54" s="27" t="str">
        <x:f>IF(K54="","",IF(K54&lt;=17,"Low",IF(K54&lt;=27,"Medium",IF(K54&lt;=36,"High","Very high"))))</x:f>
      </x:c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 t="n">
        <x:f>SUM(B55:J55)</x:f>
        <x:v>0</x:v>
      </x:c>
      <x:c r="L55" s="27" t="str">
        <x:f>IF(K55="","",IF(K55&lt;=17,"Low",IF(K55&lt;=27,"Medium",IF(K55&lt;=36,"High","Very high"))))</x:f>
      </x:c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 t="n">
        <x:f>SUM(B56:J56)</x:f>
        <x:v>0</x:v>
      </x:c>
      <x:c r="L56" s="27" t="str">
        <x:f>IF(K56="","",IF(K56&lt;=17,"Low",IF(K56&lt;=27,"Medium",IF(K56&lt;=36,"High","Very high"))))</x:f>
      </x:c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 t="n">
        <x:f>SUM(B57:J57)</x:f>
        <x:v>0</x:v>
      </x:c>
      <x:c r="L57" s="27" t="str">
        <x:f>IF(K57="","",IF(K57&lt;=17,"Low",IF(K57&lt;=27,"Medium",IF(K57&lt;=36,"High","Very high"))))</x:f>
      </x:c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 t="n">
        <x:f>SUM(B58:J58)</x:f>
        <x:v>0</x:v>
      </x:c>
      <x:c r="L58" s="27" t="str">
        <x:f>IF(K58="","",IF(K58&lt;=17,"Low",IF(K58&lt;=27,"Medium",IF(K58&lt;=36,"High","Very high"))))</x:f>
      </x:c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 t="n">
        <x:f>SUM(B59:J59)</x:f>
        <x:v>0</x:v>
      </x:c>
      <x:c r="L59" s="27" t="str">
        <x:f>IF(K59="","",IF(K59&lt;=17,"Low",IF(K59&lt;=27,"Medium",IF(K59&lt;=36,"High","Very high"))))</x:f>
      </x:c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 t="n">
        <x:f>SUM(B60:J60)</x:f>
        <x:v>0</x:v>
      </x:c>
      <x:c r="L60" s="27" t="str">
        <x:f>IF(K60="","",IF(K60&lt;=17,"Low",IF(K60&lt;=27,"Medium",IF(K60&lt;=36,"High","Very high"))))</x:f>
      </x:c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 t="n">
        <x:f>SUM(B61:J61)</x:f>
        <x:v>0</x:v>
      </x:c>
      <x:c r="L61" s="27" t="str">
        <x:f>IF(K61="","",IF(K61&lt;=17,"Low",IF(K61&lt;=27,"Medium",IF(K61&lt;=36,"High","Very high"))))</x:f>
      </x:c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 t="n">
        <x:f>SUM(B62:J62)</x:f>
        <x:v>0</x:v>
      </x:c>
      <x:c r="L62" s="27" t="str">
        <x:f>IF(K62="","",IF(K62&lt;=17,"Low",IF(K62&lt;=27,"Medium",IF(K62&lt;=36,"High","Very high"))))</x:f>
      </x:c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 t="n">
        <x:f>SUM(B63:J63)</x:f>
        <x:v>0</x:v>
      </x:c>
      <x:c r="L63" s="27" t="str">
        <x:f>IF(K63="","",IF(K63&lt;=17,"Low",IF(K63&lt;=27,"Medium",IF(K63&lt;=36,"High","Very high"))))</x:f>
      </x:c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 t="n">
        <x:f>SUM(B64:J64)</x:f>
        <x:v>0</x:v>
      </x:c>
      <x:c r="L64" s="27" t="str">
        <x:f>IF(K64="","",IF(K64&lt;=17,"Low",IF(K64&lt;=27,"Medium",IF(K64&lt;=36,"High","Very high"))))</x:f>
      </x:c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 t="n">
        <x:f>SUM(B65:J65)</x:f>
        <x:v>0</x:v>
      </x:c>
      <x:c r="L65" s="27" t="str">
        <x:f>IF(K65="","",IF(K65&lt;=17,"Low",IF(K65&lt;=27,"Medium",IF(K65&lt;=36,"High","Very high"))))</x:f>
      </x:c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 t="n">
        <x:f>SUM(B66:J66)</x:f>
        <x:v>0</x:v>
      </x:c>
      <x:c r="L66" s="27" t="str">
        <x:f>IF(K66="","",IF(K66&lt;=17,"Low",IF(K66&lt;=27,"Medium",IF(K66&lt;=36,"High","Very high"))))</x:f>
      </x:c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 t="n">
        <x:f>SUM(B67:J67)</x:f>
        <x:v>0</x:v>
      </x:c>
      <x:c r="L67" s="27" t="str">
        <x:f>IF(K67="","",IF(K67&lt;=17,"Low",IF(K67&lt;=27,"Medium",IF(K67&lt;=36,"High","Very high"))))</x:f>
      </x:c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 t="n">
        <x:f>SUM(B68:J68)</x:f>
        <x:v>0</x:v>
      </x:c>
      <x:c r="L68" s="27" t="str">
        <x:f>IF(K68="","",IF(K68&lt;=17,"Low",IF(K68&lt;=27,"Medium",IF(K68&lt;=36,"High","Very high"))))</x:f>
      </x:c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 t="n">
        <x:f>SUM(B69:J69)</x:f>
        <x:v>0</x:v>
      </x:c>
      <x:c r="L69" s="27" t="str">
        <x:f>IF(K69="","",IF(K69&lt;=17,"Low",IF(K69&lt;=27,"Medium",IF(K69&lt;=36,"High","Very high"))))</x:f>
      </x:c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 t="n">
        <x:f>SUM(B70:J70)</x:f>
        <x:v>0</x:v>
      </x:c>
      <x:c r="L70" s="27" t="str">
        <x:f>IF(K70="","",IF(K70&lt;=17,"Low",IF(K70&lt;=27,"Medium",IF(K70&lt;=36,"High","Very high"))))</x:f>
      </x:c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 t="n">
        <x:f>SUM(B71:J71)</x:f>
        <x:v>0</x:v>
      </x:c>
      <x:c r="L71" s="27" t="str">
        <x:f>IF(K71="","",IF(K71&lt;=17,"Low",IF(K71&lt;=27,"Medium",IF(K71&lt;=36,"High","Very high"))))</x:f>
      </x:c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 t="n">
        <x:f>SUM(B72:J72)</x:f>
        <x:v>0</x:v>
      </x:c>
      <x:c r="L72" s="27" t="str">
        <x:f>IF(K72="","",IF(K72&lt;=17,"Low",IF(K72&lt;=27,"Medium",IF(K72&lt;=36,"High","Very high"))))</x:f>
      </x:c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 t="n">
        <x:f>SUM(B73:J73)</x:f>
        <x:v>0</x:v>
      </x:c>
      <x:c r="L73" s="27" t="str">
        <x:f>IF(K73="","",IF(K73&lt;=17,"Low",IF(K73&lt;=27,"Medium",IF(K73&lt;=36,"High","Very high"))))</x:f>
      </x:c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 t="n">
        <x:f>SUM(B74:J74)</x:f>
        <x:v>0</x:v>
      </x:c>
      <x:c r="L74" s="27" t="str">
        <x:f>IF(K74="","",IF(K74&lt;=17,"Low",IF(K74&lt;=27,"Medium",IF(K74&lt;=36,"High","Very high"))))</x:f>
      </x:c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 t="n">
        <x:f>SUM(B75:J75)</x:f>
        <x:v>0</x:v>
      </x:c>
      <x:c r="L75" s="27" t="str">
        <x:f>IF(K75="","",IF(K75&lt;=17,"Low",IF(K75&lt;=27,"Medium",IF(K75&lt;=36,"High","Very high"))))</x:f>
      </x:c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 t="n">
        <x:f>SUM(B76:J76)</x:f>
        <x:v>0</x:v>
      </x:c>
      <x:c r="L76" s="27" t="str">
        <x:f>IF(K76="","",IF(K76&lt;=17,"Low",IF(K76&lt;=27,"Medium",IF(K76&lt;=36,"High","Very high"))))</x:f>
      </x:c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 t="n">
        <x:f>SUM(B77:J77)</x:f>
        <x:v>0</x:v>
      </x:c>
      <x:c r="L77" s="27" t="str">
        <x:f>IF(K77="","",IF(K77&lt;=17,"Low",IF(K77&lt;=27,"Medium",IF(K77&lt;=36,"High","Very high"))))</x:f>
      </x:c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 t="n">
        <x:f>SUM(B78:J78)</x:f>
        <x:v>0</x:v>
      </x:c>
      <x:c r="L78" s="27" t="str">
        <x:f>IF(K78="","",IF(K78&lt;=17,"Low",IF(K78&lt;=27,"Medium",IF(K78&lt;=36,"High","Very high"))))</x:f>
      </x:c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 t="n">
        <x:f>SUM(B79:J79)</x:f>
        <x:v>0</x:v>
      </x:c>
      <x:c r="L79" s="27" t="str">
        <x:f>IF(K79="","",IF(K79&lt;=17,"Low",IF(K79&lt;=27,"Medium",IF(K79&lt;=36,"High","Very high"))))</x:f>
      </x:c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 t="n">
        <x:f>SUM(B80:J80)</x:f>
        <x:v>0</x:v>
      </x:c>
      <x:c r="L80" s="27" t="str">
        <x:f>IF(K80="","",IF(K80&lt;=17,"Low",IF(K80&lt;=27,"Medium",IF(K80&lt;=36,"High","Very high"))))</x:f>
      </x:c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 t="n">
        <x:f>SUM(B81:J81)</x:f>
        <x:v>0</x:v>
      </x:c>
      <x:c r="L81" s="27" t="str">
        <x:f>IF(K81="","",IF(K81&lt;=17,"Low",IF(K81&lt;=27,"Medium",IF(K81&lt;=36,"High","Very high"))))</x:f>
      </x:c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 t="n">
        <x:f>SUM(B82:J82)</x:f>
        <x:v>0</x:v>
      </x:c>
      <x:c r="L82" s="27" t="str">
        <x:f>IF(K82="","",IF(K82&lt;=17,"Low",IF(K82&lt;=27,"Medium",IF(K82&lt;=36,"High","Very high"))))</x:f>
      </x:c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 t="n">
        <x:f>SUM(B83:J83)</x:f>
        <x:v>0</x:v>
      </x:c>
      <x:c r="L83" s="27" t="str">
        <x:f>IF(K83="","",IF(K83&lt;=17,"Low",IF(K83&lt;=27,"Medium",IF(K83&lt;=36,"High","Very high"))))</x:f>
      </x:c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 t="n">
        <x:f>SUM(B84:J84)</x:f>
        <x:v>0</x:v>
      </x:c>
      <x:c r="L84" s="27" t="str">
        <x:f>IF(K84="","",IF(K84&lt;=17,"Low",IF(K84&lt;=27,"Medium",IF(K84&lt;=36,"High","Very high"))))</x:f>
      </x:c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 t="n">
        <x:f>SUM(B85:J85)</x:f>
        <x:v>0</x:v>
      </x:c>
      <x:c r="L85" s="27" t="str">
        <x:f>IF(K85="","",IF(K85&lt;=17,"Low",IF(K85&lt;=27,"Medium",IF(K85&lt;=36,"High","Very high"))))</x:f>
      </x:c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 t="n">
        <x:f>SUM(B86:J86)</x:f>
        <x:v>0</x:v>
      </x:c>
      <x:c r="L86" s="27" t="str">
        <x:f>IF(K86="","",IF(K86&lt;=17,"Low",IF(K86&lt;=27,"Medium",IF(K86&lt;=36,"High","Very high"))))</x:f>
      </x:c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 t="n">
        <x:f>SUM(B87:J87)</x:f>
        <x:v>0</x:v>
      </x:c>
      <x:c r="L87" s="27" t="str">
        <x:f>IF(K87="","",IF(K87&lt;=17,"Low",IF(K87&lt;=27,"Medium",IF(K87&lt;=36,"High","Very high"))))</x:f>
      </x:c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 t="n">
        <x:f>SUM(B88:J88)</x:f>
        <x:v>0</x:v>
      </x:c>
      <x:c r="L88" s="27" t="str">
        <x:f>IF(K88="","",IF(K88&lt;=17,"Low",IF(K88&lt;=27,"Medium",IF(K88&lt;=36,"High","Very high"))))</x:f>
      </x:c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 t="n">
        <x:f>SUM(B89:J89)</x:f>
        <x:v>0</x:v>
      </x:c>
      <x:c r="L89" s="27" t="str">
        <x:f>IF(K89="","",IF(K89&lt;=17,"Low",IF(K89&lt;=27,"Medium",IF(K89&lt;=36,"High","Very high"))))</x:f>
      </x:c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 t="n">
        <x:f>SUM(B90:J90)</x:f>
        <x:v>0</x:v>
      </x:c>
      <x:c r="L90" s="27" t="str">
        <x:f>IF(K90="","",IF(K90&lt;=17,"Low",IF(K90&lt;=27,"Medium",IF(K90&lt;=36,"High","Very high"))))</x:f>
      </x:c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 t="n">
        <x:f>SUM(B91:J91)</x:f>
        <x:v>0</x:v>
      </x:c>
      <x:c r="L91" s="27" t="str">
        <x:f>IF(K91="","",IF(K91&lt;=17,"Low",IF(K91&lt;=27,"Medium",IF(K91&lt;=36,"High","Very high"))))</x:f>
      </x:c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 t="n">
        <x:f>SUM(B92:J92)</x:f>
        <x:v>0</x:v>
      </x:c>
      <x:c r="L92" s="27" t="str">
        <x:f>IF(K92="","",IF(K92&lt;=17,"Low",IF(K92&lt;=27,"Medium",IF(K92&lt;=36,"High","Very high"))))</x:f>
      </x:c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 t="n">
        <x:f>SUM(B93:J93)</x:f>
        <x:v>0</x:v>
      </x:c>
      <x:c r="L93" s="27" t="str">
        <x:f>IF(K93="","",IF(K93&lt;=17,"Low",IF(K93&lt;=27,"Medium",IF(K93&lt;=36,"High","Very high"))))</x:f>
      </x:c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 t="n">
        <x:f>SUM(B94:J94)</x:f>
        <x:v>0</x:v>
      </x:c>
      <x:c r="L94" s="27" t="str">
        <x:f>IF(K94="","",IF(K94&lt;=17,"Low",IF(K94&lt;=27,"Medium",IF(K94&lt;=36,"High","Very high"))))</x:f>
      </x:c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 t="n">
        <x:f>SUM(B95:J95)</x:f>
        <x:v>0</x:v>
      </x:c>
      <x:c r="L95" s="27" t="str">
        <x:f>IF(K95="","",IF(K95&lt;=17,"Low",IF(K95&lt;=27,"Medium",IF(K95&lt;=36,"High","Very high"))))</x:f>
      </x:c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 t="n">
        <x:f>SUM(B96:J96)</x:f>
        <x:v>0</x:v>
      </x:c>
      <x:c r="L96" s="27" t="str">
        <x:f>IF(K96="","",IF(K96&lt;=17,"Low",IF(K96&lt;=27,"Medium",IF(K96&lt;=36,"High","Very high"))))</x:f>
      </x:c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 t="n">
        <x:f>SUM(B97:J97)</x:f>
        <x:v>0</x:v>
      </x:c>
      <x:c r="L97" s="27" t="str">
        <x:f>IF(K97="","",IF(K97&lt;=17,"Low",IF(K97&lt;=27,"Medium",IF(K97&lt;=36,"High","Very high"))))</x:f>
      </x:c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 t="n">
        <x:f>SUM(B98:J98)</x:f>
        <x:v>0</x:v>
      </x:c>
      <x:c r="L98" s="27" t="str">
        <x:f>IF(K98="","",IF(K98&lt;=17,"Low",IF(K98&lt;=27,"Medium",IF(K98&lt;=36,"High","Very high"))))</x:f>
      </x:c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 t="n">
        <x:f>SUM(B99:J99)</x:f>
        <x:v>0</x:v>
      </x:c>
      <x:c r="L99" s="27" t="str">
        <x:f>IF(K99="","",IF(K99&lt;=17,"Low",IF(K99&lt;=27,"Medium",IF(K99&lt;=36,"High","Very high"))))</x:f>
      </x:c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 t="n">
        <x:f>SUM(B100:J100)</x:f>
        <x:v>0</x:v>
      </x:c>
      <x:c r="L100" s="27" t="str">
        <x:f>IF(K100="","",IF(K100&lt;=17,"Low",IF(K100&lt;=27,"Medium",IF(K100&lt;=36,"High","Very high"))))</x:f>
      </x:c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 t="n">
        <x:f>SUM(B101:J101)</x:f>
        <x:v>0</x:v>
      </x:c>
      <x:c r="L101" s="27" t="str">
        <x:f>IF(K101="","",IF(K101&lt;=17,"Low",IF(K101&lt;=27,"Medium",IF(K101&lt;=36,"High","Very high"))))</x:f>
      </x:c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 t="n">
        <x:f>SUM(B102:J102)</x:f>
        <x:v>0</x:v>
      </x:c>
      <x:c r="L102" s="27" t="str">
        <x:f>IF(K102="","",IF(K102&lt;=17,"Low",IF(K102&lt;=27,"Medium",IF(K102&lt;=36,"High","Very high"))))</x:f>
      </x:c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 t="n">
        <x:f>SUM(B103:J103)</x:f>
        <x:v>0</x:v>
      </x:c>
      <x:c r="L103" s="27" t="str">
        <x:f>IF(K103="","",IF(K103&lt;=17,"Low",IF(K103&lt;=27,"Medium",IF(K103&lt;=36,"High","Very high"))))</x:f>
      </x:c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 t="n">
        <x:f>SUM(B104:J104)</x:f>
        <x:v>0</x:v>
      </x:c>
      <x:c r="L104" s="27" t="str">
        <x:f>IF(K104="","",IF(K104&lt;=17,"Low",IF(K104&lt;=27,"Medium",IF(K104&lt;=36,"High","Very high"))))</x:f>
      </x:c>
    </x:row>
  </x:sheetData>
  <x:mergeCells>
    <x:mergeCell ref="A1:L1"/>
    <x:mergeCell ref="A2:L2"/>
  </x:mergeCells>
  <x:dataValidations count="9">
    <x:dataValidation type="list" sqref="B5:B104">
      <x:formula1>"1,2,3,4,5"</x:formula1>
    </x:dataValidation>
    <x:dataValidation type="list" sqref="C5:C104">
      <x:formula1>"1,2,3,4,5"</x:formula1>
    </x:dataValidation>
    <x:dataValidation type="list" sqref="D5:D104">
      <x:formula1>"1,2,3,4,5"</x:formula1>
    </x:dataValidation>
    <x:dataValidation type="list" sqref="E5:E104">
      <x:formula1>"1,2,3,4,5"</x:formula1>
    </x:dataValidation>
    <x:dataValidation type="list" sqref="F5:F104">
      <x:formula1>"1,2,3,4,5"</x:formula1>
    </x:dataValidation>
    <x:dataValidation type="list" sqref="G5:G104">
      <x:formula1>"1,2,3,4,5"</x:formula1>
    </x:dataValidation>
    <x:dataValidation type="list" sqref="H5:H104">
      <x:formula1>"1,2,3,4,5"</x:formula1>
    </x:dataValidation>
    <x:dataValidation type="list" sqref="I5:I104">
      <x:formula1>"1,2,3,4,5"</x:formula1>
    </x:dataValidation>
    <x:dataValidation type="list" sqref="J5:J104">
      <x:formula1>"1,2,3,4,5"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" hidden="0" customWidth="1"/>
    <x:col min="3" max="3" width="16" hidden="0" customWidth="1"/>
    <x:col min="4" max="4" width="18" hidden="0" customWidth="1"/>
    <x:col min="5" max="5" width="20" hidden="0" customWidth="1"/>
    <x:col min="6" max="6" width="44" hidden="0" customWidth="1"/>
    <x:col min="7" max="7" width="30" hidden="0" customWidth="1"/>
  </x:cols>
  <x:sheetData>
    <x:row r="1">
      <x:c r="A1" s="26" t="str">
        <x:v>Build / Buy / Consume Scorecard</x:v>
      </x:c>
      <x:c r="B1" s="26"/>
      <x:c r="C1" s="26"/>
      <x:c r="D1" s="26"/>
      <x:c r="E1" s="26"/>
      <x:c r="F1" s="26"/>
      <x:c r="G1" s="26"/>
    </x:row>
    <x:row r="2">
      <x:c r="A2" s="27"/>
      <x:c r="B2" s="27"/>
      <x:c r="C2" s="27"/>
      <x:c r="D2" s="27"/>
      <x:c r="E2" s="27"/>
      <x:c r="F2" s="27"/>
      <x:c r="G2" s="27"/>
    </x:row>
    <x:row r="3">
      <x:c r="A3" s="17" t="str">
        <x:v>Decision criterion</x:v>
      </x:c>
      <x:c r="B3" s="17" t="str">
        <x:v>Weight</x:v>
      </x:c>
      <x:c r="C3" s="17" t="str">
        <x:v>DIY / Build</x:v>
      </x:c>
      <x:c r="D3" s="17" t="str">
        <x:v>Supported / Buy</x:v>
      </x:c>
      <x:c r="E3" s="17" t="str">
        <x:v>Managed / Consume</x:v>
      </x:c>
      <x:c r="F3" s="17" t="str">
        <x:v>Question to ask</x:v>
      </x:c>
      <x:c r="G3" s="17" t="str">
        <x:v>Notes</x:v>
      </x:c>
    </x:row>
    <x:row r="4">
      <x:c r="A4" s="27" t="str">
        <x:v>Need for control/customization</x:v>
      </x:c>
      <x:c r="B4" s="27" t="n">
        <x:v>5</x:v>
      </x:c>
      <x:c r="C4" s="27" t="n">
        <x:v>5</x:v>
      </x:c>
      <x:c r="D4" s="27" t="n">
        <x:v>4</x:v>
      </x:c>
      <x:c r="E4" s="27" t="n">
        <x:v>2</x:v>
      </x:c>
      <x:c r="F4" s="27" t="str">
        <x:v>How much platform behavior must we control?</x:v>
      </x:c>
      <x:c r="G4" s="27" t="str"/>
    </x:row>
    <x:row r="5">
      <x:c r="A5" s="27" t="str">
        <x:v>Internal platform skills</x:v>
      </x:c>
      <x:c r="B5" s="27" t="n">
        <x:v>5</x:v>
      </x:c>
      <x:c r="C5" s="27" t="n">
        <x:v>5</x:v>
      </x:c>
      <x:c r="D5" s="27" t="n">
        <x:v>4</x:v>
      </x:c>
      <x:c r="E5" s="27" t="n">
        <x:v>2</x:v>
      </x:c>
      <x:c r="F5" s="27" t="str">
        <x:v>Can we operate and troubleshoot the stack sustainably?</x:v>
      </x:c>
      <x:c r="G5" s="27" t="str"/>
    </x:row>
    <x:row r="6">
      <x:c r="A6" s="27" t="str">
        <x:v>Time to value</x:v>
      </x:c>
      <x:c r="B6" s="27" t="n">
        <x:v>4</x:v>
      </x:c>
      <x:c r="C6" s="27" t="n">
        <x:v>2</x:v>
      </x:c>
      <x:c r="D6" s="27" t="n">
        <x:v>4</x:v>
      </x:c>
      <x:c r="E6" s="27" t="n">
        <x:v>5</x:v>
      </x:c>
      <x:c r="F6" s="27" t="str">
        <x:v>How quickly must the capability become production ready?</x:v>
      </x:c>
      <x:c r="G6" s="27" t="str"/>
    </x:row>
    <x:row r="7">
      <x:c r="A7" s="27" t="str">
        <x:v>Tolerance for operational responsibility</x:v>
      </x:c>
      <x:c r="B7" s="27" t="n">
        <x:v>4</x:v>
      </x:c>
      <x:c r="C7" s="27" t="n">
        <x:v>5</x:v>
      </x:c>
      <x:c r="D7" s="27" t="n">
        <x:v>4</x:v>
      </x:c>
      <x:c r="E7" s="27" t="n">
        <x:v>1</x:v>
      </x:c>
      <x:c r="F7" s="27" t="str">
        <x:v>How much Day-2 responsibility do we want to retain?</x:v>
      </x:c>
      <x:c r="G7" s="27" t="str"/>
    </x:row>
    <x:row r="8">
      <x:c r="A8" s="27" t="str">
        <x:v>Need for vendor escalation/support</x:v>
      </x:c>
      <x:c r="B8" s="27" t="n">
        <x:v>4</x:v>
      </x:c>
      <x:c r="C8" s="27" t="n">
        <x:v>1</x:v>
      </x:c>
      <x:c r="D8" s="27" t="n">
        <x:v>5</x:v>
      </x:c>
      <x:c r="E8" s="27" t="n">
        <x:v>5</x:v>
      </x:c>
      <x:c r="F8" s="27" t="str">
        <x:v>What support model does business criticality require?</x:v>
      </x:c>
      <x:c r="G8" s="27" t="str"/>
    </x:row>
    <x:row r="9">
      <x:c r="A9" s="27" t="str">
        <x:v>Need for portability</x:v>
      </x:c>
      <x:c r="B9" s="27" t="n">
        <x:v>3</x:v>
      </x:c>
      <x:c r="C9" s="27" t="n">
        <x:v>5</x:v>
      </x:c>
      <x:c r="D9" s="27" t="n">
        <x:v>4</x:v>
      </x:c>
      <x:c r="E9" s="27" t="n">
        <x:v>2</x:v>
      </x:c>
      <x:c r="F9" s="27" t="str">
        <x:v>Where is service/platform coupling strategically acceptable?</x:v>
      </x:c>
      <x:c r="G9" s="27" t="str"/>
    </x:row>
    <x:row r="10">
      <x:c r="A10" s="27" t="str">
        <x:v>Cost predictability</x:v>
      </x:c>
      <x:c r="B10" s="27" t="n">
        <x:v>3</x:v>
      </x:c>
      <x:c r="C10" s="27" t="n">
        <x:v>3</x:v>
      </x:c>
      <x:c r="D10" s="27" t="n">
        <x:v>4</x:v>
      </x:c>
      <x:c r="E10" s="27" t="n">
        <x:v>3</x:v>
      </x:c>
      <x:c r="F10" s="27" t="str">
        <x:v>Which cost model is easier to govern for this capability?</x:v>
      </x:c>
      <x:c r="G10" s="27" t="str"/>
    </x:row>
    <x:row r="11">
      <x:c r="A11" s="27" t="str">
        <x:v>Differentiation to business</x:v>
      </x:c>
      <x:c r="B11" s="27" t="n">
        <x:v>5</x:v>
      </x:c>
      <x:c r="C11" s="27" t="n">
        <x:v>5</x:v>
      </x:c>
      <x:c r="D11" s="27" t="n">
        <x:v>4</x:v>
      </x:c>
      <x:c r="E11" s="27" t="n">
        <x:v>2</x:v>
      </x:c>
      <x:c r="F11" s="27" t="str">
        <x:v>Does operating this capability create business differentiation?</x:v>
      </x:c>
      <x:c r="G11" s="27" t="str"/>
    </x:row>
    <x:row r="12">
      <x:c r="A12" s="28" t="str">
        <x:v>Weighted score</x:v>
      </x:c>
      <x:c r="B12" s="28" t="str"/>
      <x:c r="C12" s="28" t="n">
        <x:f>SUMPRODUCT($B$4:$B$11,C$4:C$11)</x:f>
        <x:v>131</x:v>
      </x:c>
      <x:c r="D12" s="28" t="n">
        <x:f>SUMPRODUCT($B$4:$B$11,D$4:D$11)</x:f>
        <x:v>136</x:v>
      </x:c>
      <x:c r="E12" s="28" t="n">
        <x:f>SUMPRODUCT($B$4:$B$11,E$4:E$11)</x:f>
        <x:v>89</x:v>
      </x:c>
      <x:c r="F12" s="28" t="str"/>
      <x:c r="G12" s="28" t="str"/>
    </x:row>
    <x:row r="13">
      <x:c r="A13" s="27"/>
      <x:c r="B13" s="27"/>
      <x:c r="C13" s="27"/>
      <x:c r="D13" s="27"/>
      <x:c r="E13" s="27"/>
      <x:c r="F13" s="27"/>
      <x:c r="G13" s="27"/>
    </x:row>
    <x:row r="14">
      <x:c r="A14" s="27"/>
      <x:c r="B14" s="27"/>
      <x:c r="C14" s="27"/>
      <x:c r="D14" s="27"/>
      <x:c r="E14" s="27"/>
      <x:c r="F14" s="27"/>
      <x:c r="G14" s="27"/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20" hidden="0" customWidth="1"/>
    <x:col min="5" max="5" width="16" hidden="0" customWidth="1"/>
    <x:col min="6" max="6" width="42" hidden="0" customWidth="1"/>
  </x:cols>
  <x:sheetData>
    <x:row r="1">
      <x:c r="A1" s="26" t="str">
        <x:v>Five-Year TCO &amp; Transition Cost Framework</x:v>
      </x:c>
      <x:c r="B1" s="26"/>
      <x:c r="C1" s="26"/>
      <x:c r="D1" s="26"/>
      <x:c r="E1" s="26"/>
      <x:c r="F1" s="26"/>
    </x:row>
    <x:row r="2">
      <x:c r="A2" s="27"/>
      <x:c r="B2" s="27"/>
      <x:c r="C2" s="27"/>
      <x:c r="D2" s="27"/>
      <x:c r="E2" s="27"/>
      <x:c r="F2" s="27"/>
    </x:row>
    <x:row r="3">
      <x:c r="A3" s="17" t="str">
        <x:v>Cost category</x:v>
      </x:c>
      <x:c r="B3" s="17" t="str">
        <x:v>Current annual run cost</x:v>
      </x:c>
      <x:c r="C3" s="17" t="str">
        <x:v>Target annual run cost</x:v>
      </x:c>
      <x:c r="D3" s="17" t="str">
        <x:v>One-time transition cost</x:v>
      </x:c>
      <x:c r="E3" s="17" t="str">
        <x:v>5-year delta</x:v>
      </x:c>
      <x:c r="F3" s="17" t="str">
        <x:v>Assumptions / source</x:v>
      </x:c>
    </x:row>
    <x:row r="4">
      <x:c r="A4" s="27" t="str">
        <x:v>Virtualization/platform software</x:v>
      </x:c>
      <x:c r="B4" s="36"/>
      <x:c r="C4" s="36"/>
      <x:c r="D4" s="36"/>
      <x:c r="E4" s="36" t="n">
        <x:f>(C4-B4)*5+D4</x:f>
        <x:v>0</x:v>
      </x:c>
      <x:c r="F4" s="27" t="str"/>
    </x:row>
    <x:row r="5">
      <x:c r="A5" s="27" t="str">
        <x:v>Server infrastructure</x:v>
      </x:c>
      <x:c r="B5" s="36"/>
      <x:c r="C5" s="36"/>
      <x:c r="D5" s="36"/>
      <x:c r="E5" s="36" t="n">
        <x:f>(C5-B5)*5+D5</x:f>
        <x:v>0</x:v>
      </x:c>
      <x:c r="F5" s="27" t="str"/>
    </x:row>
    <x:row r="6">
      <x:c r="A6" s="27" t="str">
        <x:v>Storage</x:v>
      </x:c>
      <x:c r="B6" s="36"/>
      <x:c r="C6" s="36"/>
      <x:c r="D6" s="36"/>
      <x:c r="E6" s="36" t="n">
        <x:f>(C6-B6)*5+D6</x:f>
        <x:v>0</x:v>
      </x:c>
      <x:c r="F6" s="27" t="str"/>
    </x:row>
    <x:row r="7">
      <x:c r="A7" s="27" t="str">
        <x:v>Network/connectivity</x:v>
      </x:c>
      <x:c r="B7" s="36"/>
      <x:c r="C7" s="36"/>
      <x:c r="D7" s="36"/>
      <x:c r="E7" s="36" t="n">
        <x:f>(C7-B7)*5+D7</x:f>
        <x:v>0</x:v>
      </x:c>
      <x:c r="F7" s="27" t="str"/>
    </x:row>
    <x:row r="8">
      <x:c r="A8" s="27" t="str">
        <x:v>Backup &amp; DR</x:v>
      </x:c>
      <x:c r="B8" s="36"/>
      <x:c r="C8" s="36"/>
      <x:c r="D8" s="36"/>
      <x:c r="E8" s="36" t="n">
        <x:f>(C8-B8)*5+D8</x:f>
        <x:v>0</x:v>
      </x:c>
      <x:c r="F8" s="27" t="str"/>
    </x:row>
    <x:row r="9">
      <x:c r="A9" s="27" t="str">
        <x:v>Security/observability tooling</x:v>
      </x:c>
      <x:c r="B9" s="36"/>
      <x:c r="C9" s="36"/>
      <x:c r="D9" s="36"/>
      <x:c r="E9" s="36" t="n">
        <x:f>(C9-B9)*5+D9</x:f>
        <x:v>0</x:v>
      </x:c>
      <x:c r="F9" s="27" t="str"/>
    </x:row>
    <x:row r="10">
      <x:c r="A10" s="27" t="str">
        <x:v>Facilities/colocation</x:v>
      </x:c>
      <x:c r="B10" s="36"/>
      <x:c r="C10" s="36"/>
      <x:c r="D10" s="36"/>
      <x:c r="E10" s="36" t="n">
        <x:f>(C10-B10)*5+D10</x:f>
        <x:v>0</x:v>
      </x:c>
      <x:c r="F10" s="27" t="str"/>
    </x:row>
    <x:row r="11">
      <x:c r="A11" s="27" t="str">
        <x:v>Public cloud consumption</x:v>
      </x:c>
      <x:c r="B11" s="36"/>
      <x:c r="C11" s="36"/>
      <x:c r="D11" s="36"/>
      <x:c r="E11" s="36" t="n">
        <x:f>(C11-B11)*5+D11</x:f>
        <x:v>0</x:v>
      </x:c>
      <x:c r="F11" s="27" t="str"/>
    </x:row>
    <x:row r="12">
      <x:c r="A12" s="27" t="str">
        <x:v>Managed services</x:v>
      </x:c>
      <x:c r="B12" s="36"/>
      <x:c r="C12" s="36"/>
      <x:c r="D12" s="36"/>
      <x:c r="E12" s="36" t="n">
        <x:f>(C12-B12)*5+D12</x:f>
        <x:v>0</x:v>
      </x:c>
      <x:c r="F12" s="27" t="str"/>
    </x:row>
    <x:row r="13">
      <x:c r="A13" s="27" t="str">
        <x:v>Operations/support</x:v>
      </x:c>
      <x:c r="B13" s="36"/>
      <x:c r="C13" s="36"/>
      <x:c r="D13" s="36"/>
      <x:c r="E13" s="36" t="n">
        <x:f>(C13-B13)*5+D13</x:f>
        <x:v>0</x:v>
      </x:c>
      <x:c r="F13" s="27" t="str"/>
    </x:row>
    <x:row r="14">
      <x:c r="A14" s="27" t="str">
        <x:v>People</x:v>
      </x:c>
      <x:c r="B14" s="36"/>
      <x:c r="C14" s="36"/>
      <x:c r="D14" s="36"/>
      <x:c r="E14" s="36" t="n">
        <x:f>(C14-B14)*5+D14</x:f>
        <x:v>0</x:v>
      </x:c>
      <x:c r="F14" s="27" t="str"/>
    </x:row>
    <x:row r="15">
      <x:c r="A15" s="27" t="str">
        <x:v>Other</x:v>
      </x:c>
      <x:c r="B15" s="36"/>
      <x:c r="C15" s="36"/>
      <x:c r="D15" s="36"/>
      <x:c r="E15" s="36" t="n">
        <x:f>(C15-B15)*5+D15</x:f>
        <x:v>0</x:v>
      </x:c>
      <x:c r="F15" s="27" t="str"/>
    </x:row>
    <x:row r="16">
      <x:c r="A16" s="28" t="str">
        <x:v>TOTAL</x:v>
      </x:c>
      <x:c r="B16" s="37" t="n">
        <x:f>SUM(B4:B15)</x:f>
        <x:v>0</x:v>
      </x:c>
      <x:c r="C16" s="37" t="n">
        <x:f>SUM(C4:C15)</x:f>
        <x:v>0</x:v>
      </x:c>
      <x:c r="D16" s="37" t="n">
        <x:f>SUM(D4:D15)</x:f>
        <x:v>0</x:v>
      </x:c>
      <x:c r="E16" s="37" t="n">
        <x:f>SUM(E4:E15)</x:f>
        <x:v>0</x:v>
      </x:c>
      <x:c r="F16" s="28" t="str"/>
    </x:row>
    <x:row r="17">
      <x:c r="A17" s="27"/>
      <x:c r="B17" s="27"/>
      <x:c r="C17" s="27"/>
      <x:c r="D17" s="27"/>
      <x:c r="E17" s="27"/>
      <x:c r="F17" s="27"/>
    </x:row>
    <x:row r="18">
      <x:c r="A18" s="10" t="str">
        <x:v>Interpretation: negative 5-year delta = modeled saving versus current state; positive = modeled additional cost. Include parallel-run and decommissioning assumptions explicitly.</x:v>
      </x:c>
      <x:c r="B18" s="10"/>
      <x:c r="C18" s="10"/>
      <x:c r="D18" s="10"/>
      <x:c r="E18" s="10"/>
      <x:c r="F18" s="10"/>
    </x:row>
    <x:row r="19">
      <x:c r="A19" s="27"/>
      <x:c r="B19" s="27"/>
      <x:c r="C19" s="27"/>
      <x:c r="D19" s="27"/>
      <x:c r="E19" s="27"/>
      <x:c r="F19" s="27"/>
    </x:row>
  </x:sheetData>
  <x:mergeCells>
    <x:mergeCell ref="A1:F1"/>
    <x:mergeCell ref="A18:F1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16" hidden="0" customWidth="1"/>
    <x:col min="4" max="4" width="32" hidden="0" customWidth="1"/>
    <x:col min="5" max="5" width="38" hidden="0" customWidth="1"/>
  </x:cols>
  <x:sheetData>
    <x:row r="1">
      <x:c r="A1" s="26" t="str">
        <x:v>Modernization Readiness &amp; Decision Gates</x:v>
      </x:c>
      <x:c r="B1" s="26"/>
      <x:c r="C1" s="26"/>
      <x:c r="D1" s="26"/>
      <x:c r="E1" s="26"/>
    </x:row>
    <x:row r="2">
      <x:c r="A2" s="27"/>
      <x:c r="B2" s="27"/>
      <x:c r="C2" s="27"/>
      <x:c r="D2" s="27"/>
      <x:c r="E2" s="27"/>
    </x:row>
    <x:row r="3">
      <x:c r="A3" s="17" t="str">
        <x:v>Domain</x:v>
      </x:c>
      <x:c r="B3" s="17" t="str">
        <x:v>Check</x:v>
      </x:c>
      <x:c r="C3" s="17" t="str">
        <x:v>Status</x:v>
      </x:c>
      <x:c r="D3" s="17" t="str">
        <x:v>Evidence / owner</x:v>
      </x:c>
      <x:c r="E3" s="17" t="str">
        <x:v>Risk / action</x:v>
      </x:c>
    </x:row>
    <x:row r="4">
      <x:c r="A4" s="27" t="str">
        <x:v>Strategy</x:v>
      </x:c>
      <x:c r="B4" s="27" t="str">
        <x:v>Modernization trigger and measurable outcomes agreed</x:v>
      </x:c>
      <x:c r="C4" s="27" t="str">
        <x:v>Not assessed</x:v>
      </x:c>
      <x:c r="D4" s="27" t="str"/>
      <x:c r="E4" s="27" t="str"/>
    </x:row>
    <x:row r="5">
      <x:c r="A5" s="27" t="str">
        <x:v>Estate</x:v>
      </x:c>
      <x:c r="B5" s="27" t="str">
        <x:v>Inventory and business ownership trustworthy</x:v>
      </x:c>
      <x:c r="C5" s="27" t="str">
        <x:v>Not assessed</x:v>
      </x:c>
      <x:c r="D5" s="27" t="str"/>
      <x:c r="E5" s="27" t="str"/>
    </x:row>
    <x:row r="6">
      <x:c r="A6" s="27" t="str">
        <x:v>Estate</x:v>
      </x:c>
      <x:c r="B6" s="27" t="str">
        <x:v>Application dependencies mapped</x:v>
      </x:c>
      <x:c r="C6" s="27" t="str">
        <x:v>Not assessed</x:v>
      </x:c>
      <x:c r="D6" s="27" t="str"/>
      <x:c r="E6" s="27" t="str"/>
    </x:row>
    <x:row r="7">
      <x:c r="A7" s="27" t="str">
        <x:v>Estate</x:v>
      </x:c>
      <x:c r="B7" s="27" t="str">
        <x:v>Observed utilization available</x:v>
      </x:c>
      <x:c r="C7" s="27" t="str">
        <x:v>Not assessed</x:v>
      </x:c>
      <x:c r="D7" s="27" t="str"/>
      <x:c r="E7" s="27" t="str"/>
    </x:row>
    <x:row r="8">
      <x:c r="A8" s="27" t="str">
        <x:v>Platform</x:v>
      </x:c>
      <x:c r="B8" s="27" t="str">
        <x:v>Virtualization/Kubernetes/unified/mixed options evaluated</x:v>
      </x:c>
      <x:c r="C8" s="27" t="str">
        <x:v>Not assessed</x:v>
      </x:c>
      <x:c r="D8" s="27" t="str"/>
      <x:c r="E8" s="27" t="str"/>
    </x:row>
    <x:row r="9">
      <x:c r="A9" s="27" t="str">
        <x:v>Placement</x:v>
      </x:c>
      <x:c r="B9" s="27" t="str">
        <x:v>Private/cloud/edge placement criteria agreed</x:v>
      </x:c>
      <x:c r="C9" s="27" t="str">
        <x:v>Not assessed</x:v>
      </x:c>
      <x:c r="D9" s="27" t="str"/>
      <x:c r="E9" s="27" t="str"/>
    </x:row>
    <x:row r="10">
      <x:c r="A10" s="27" t="str">
        <x:v>Operations</x:v>
      </x:c>
      <x:c r="B10" s="27" t="str">
        <x:v>Day-2 ownership defined</x:v>
      </x:c>
      <x:c r="C10" s="27" t="str">
        <x:v>Not assessed</x:v>
      </x:c>
      <x:c r="D10" s="27" t="str"/>
      <x:c r="E10" s="27" t="str"/>
    </x:row>
    <x:row r="11">
      <x:c r="A11" s="27" t="str">
        <x:v>Operations</x:v>
      </x:c>
      <x:c r="B11" s="27" t="str">
        <x:v>Upgrade, monitoring, backup and DR processes designed</x:v>
      </x:c>
      <x:c r="C11" s="27" t="str">
        <x:v>Not assessed</x:v>
      </x:c>
      <x:c r="D11" s="27" t="str"/>
      <x:c r="E11" s="27" t="str"/>
    </x:row>
    <x:row r="12">
      <x:c r="A12" s="27" t="str">
        <x:v>Security</x:v>
      </x:c>
      <x:c r="B12" s="27" t="str">
        <x:v>IAM, policy, audit and vulnerability processes integrated</x:v>
      </x:c>
      <x:c r="C12" s="27" t="str">
        <x:v>Not assessed</x:v>
      </x:c>
      <x:c r="D12" s="27" t="str"/>
      <x:c r="E12" s="27" t="str"/>
    </x:row>
    <x:row r="13">
      <x:c r="A13" s="27" t="str">
        <x:v>Skills</x:v>
      </x:c>
      <x:c r="B13" s="27" t="str">
        <x:v>Skills gaps and enablement plan identified</x:v>
      </x:c>
      <x:c r="C13" s="27" t="str">
        <x:v>Not assessed</x:v>
      </x:c>
      <x:c r="D13" s="27" t="str"/>
      <x:c r="E13" s="27" t="str"/>
    </x:row>
    <x:row r="14">
      <x:c r="A14" s="27" t="str">
        <x:v>Economics</x:v>
      </x:c>
      <x:c r="B14" s="27" t="str">
        <x:v>Current-state cost baseline established</x:v>
      </x:c>
      <x:c r="C14" s="27" t="str">
        <x:v>Not assessed</x:v>
      </x:c>
      <x:c r="D14" s="27" t="str"/>
      <x:c r="E14" s="27" t="str"/>
    </x:row>
    <x:row r="15">
      <x:c r="A15" s="27" t="str">
        <x:v>Economics</x:v>
      </x:c>
      <x:c r="B15" s="27" t="str">
        <x:v>Transition and parallel-run costs included</x:v>
      </x:c>
      <x:c r="C15" s="27" t="str">
        <x:v>Not assessed</x:v>
      </x:c>
      <x:c r="D15" s="27" t="str"/>
      <x:c r="E15" s="27" t="str"/>
    </x:row>
    <x:row r="16">
      <x:c r="A16" s="27" t="str">
        <x:v>Migration</x:v>
      </x:c>
      <x:c r="B16" s="27" t="str">
        <x:v>Representative pilot scope defined</x:v>
      </x:c>
      <x:c r="C16" s="27" t="str">
        <x:v>Not assessed</x:v>
      </x:c>
      <x:c r="D16" s="27" t="str"/>
      <x:c r="E16" s="27" t="str"/>
    </x:row>
    <x:row r="17">
      <x:c r="A17" s="27" t="str">
        <x:v>Migration</x:v>
      </x:c>
      <x:c r="B17" s="27" t="str">
        <x:v>Migration factory roles and wave process defined</x:v>
      </x:c>
      <x:c r="C17" s="27" t="str">
        <x:v>Not assessed</x:v>
      </x:c>
      <x:c r="D17" s="27" t="str"/>
      <x:c r="E17" s="27" t="str"/>
    </x:row>
    <x:row r="18">
      <x:c r="A18" s="27" t="str">
        <x:v>Migration</x:v>
      </x:c>
      <x:c r="B18" s="27" t="str">
        <x:v>Decommissioning is part of completion criteria</x:v>
      </x:c>
      <x:c r="C18" s="27" t="str">
        <x:v>Not assessed</x:v>
      </x:c>
      <x:c r="D18" s="27" t="str"/>
      <x:c r="E18" s="27" t="str"/>
    </x:row>
  </x:sheetData>
  <x:mergeCells>
    <x:mergeCell ref="A1:E1"/>
  </x:mergeCells>
  <x:dataValidations count="1">
    <x:dataValidation type="list" sqref="C4:C18">
      <x:formula1>"Not assessed,At risk,In progress,Ready"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8" hidden="0" customWidth="1"/>
    <x:col min="4" max="4" width="32" hidden="0" customWidth="1"/>
    <x:col min="5" max="5" width="18" hidden="0" customWidth="1"/>
    <x:col min="6" max="6" width="16" hidden="0" customWidth="1"/>
  </x:cols>
  <x:sheetData>
    <x:row r="1">
      <x:c r="A1" s="26" t="str">
        <x:v>Migration Factory - Wave Planning Framework</x:v>
      </x:c>
      <x:c r="B1" s="26"/>
      <x:c r="C1" s="26"/>
      <x:c r="D1" s="26"/>
      <x:c r="E1" s="26"/>
      <x:c r="F1" s="26"/>
    </x:row>
    <x:row r="2">
      <x:c r="A2" s="27"/>
      <x:c r="B2" s="27"/>
      <x:c r="C2" s="27"/>
      <x:c r="D2" s="27"/>
      <x:c r="E2" s="27"/>
      <x:c r="F2" s="27"/>
    </x:row>
    <x:row r="3">
      <x:c r="A3" s="17" t="str">
        <x:v>Stage</x:v>
      </x:c>
      <x:c r="B3" s="17" t="str">
        <x:v>Purpose</x:v>
      </x:c>
      <x:c r="C3" s="17" t="str">
        <x:v>Required evidence</x:v>
      </x:c>
      <x:c r="D3" s="17" t="str">
        <x:v>Exit criterion</x:v>
      </x:c>
      <x:c r="E3" s="17" t="str">
        <x:v>Owner</x:v>
      </x:c>
      <x:c r="F3" s="17" t="str">
        <x:v>Status</x:v>
      </x:c>
    </x:row>
    <x:row r="4">
      <x:c r="A4" s="27" t="str">
        <x:v>Discover</x:v>
      </x:c>
      <x:c r="B4" s="27" t="str">
        <x:v>Establish inventory, ownership and dependencies</x:v>
      </x:c>
      <x:c r="C4" s="27" t="str">
        <x:v>Inventory, utilization, dependency map</x:v>
      </x:c>
      <x:c r="D4" s="27" t="str">
        <x:v>Scope is trustworthy</x:v>
      </x:c>
      <x:c r="E4" s="27" t="str"/>
      <x:c r="F4" s="27" t="str">
        <x:v>Not started</x:v>
      </x:c>
    </x:row>
    <x:row r="5">
      <x:c r="A5" s="27" t="str">
        <x:v>Assess</x:v>
      </x:c>
      <x:c r="B5" s="27" t="str">
        <x:v>Disposition and complexity scoring</x:v>
      </x:c>
      <x:c r="C5" s="27" t="str">
        <x:v>Disposition + complexity worksheet</x:v>
      </x:c>
      <x:c r="D5" s="27" t="str">
        <x:v>Target candidates approved</x:v>
      </x:c>
      <x:c r="E5" s="27" t="str"/>
      <x:c r="F5" s="27" t="str">
        <x:v>Not started</x:v>
      </x:c>
    </x:row>
    <x:row r="6">
      <x:c r="A6" s="27" t="str">
        <x:v>Remediate</x:v>
      </x:c>
      <x:c r="B6" s="27" t="str">
        <x:v>Resolve blockers before move</x:v>
      </x:c>
      <x:c r="C6" s="27" t="str">
        <x:v>OS/app/network/storage remediation</x:v>
      </x:c>
      <x:c r="D6" s="27" t="str">
        <x:v>Migration-ready</x:v>
      </x:c>
      <x:c r="E6" s="27" t="str"/>
      <x:c r="F6" s="27" t="str">
        <x:v>Not started</x:v>
      </x:c>
    </x:row>
    <x:row r="7">
      <x:c r="A7" s="27" t="str">
        <x:v>Wave plan</x:v>
      </x:c>
      <x:c r="B7" s="27" t="str">
        <x:v>Group by dependencies and business windows</x:v>
      </x:c>
      <x:c r="C7" s="27" t="str">
        <x:v>Wave plan, rollback, test owners</x:v>
      </x:c>
      <x:c r="D7" s="27" t="str">
        <x:v>Change approved</x:v>
      </x:c>
      <x:c r="E7" s="27" t="str"/>
      <x:c r="F7" s="27" t="str">
        <x:v>Not started</x:v>
      </x:c>
    </x:row>
    <x:row r="8">
      <x:c r="A8" s="27" t="str">
        <x:v>Migrate</x:v>
      </x:c>
      <x:c r="B8" s="27" t="str">
        <x:v>Execute technical move</x:v>
      </x:c>
      <x:c r="C8" s="27" t="str">
        <x:v>Migration logs and runbook</x:v>
      </x:c>
      <x:c r="D8" s="27" t="str">
        <x:v>Workload running on target</x:v>
      </x:c>
      <x:c r="E8" s="27" t="str"/>
      <x:c r="F8" s="27" t="str">
        <x:v>Not started</x:v>
      </x:c>
    </x:row>
    <x:row r="9">
      <x:c r="A9" s="27" t="str">
        <x:v>Validate</x:v>
      </x:c>
      <x:c r="B9" s="27" t="str">
        <x:v>Business, performance and control validation</x:v>
      </x:c>
      <x:c r="C9" s="27" t="str">
        <x:v>Test evidence, monitoring, backup</x:v>
      </x:c>
      <x:c r="D9" s="27" t="str">
        <x:v>Acceptance signed</x:v>
      </x:c>
      <x:c r="E9" s="27" t="str"/>
      <x:c r="F9" s="27" t="str">
        <x:v>Not started</x:v>
      </x:c>
    </x:row>
    <x:row r="10">
      <x:c r="A10" s="27" t="str">
        <x:v>Cut over</x:v>
      </x:c>
      <x:c r="B10" s="27" t="str">
        <x:v>Switch production use</x:v>
      </x:c>
      <x:c r="C10" s="27" t="str">
        <x:v>DNS/LB/routing/change evidence</x:v>
      </x:c>
      <x:c r="D10" s="27" t="str">
        <x:v>Production active</x:v>
      </x:c>
      <x:c r="E10" s="27" t="str"/>
      <x:c r="F10" s="27" t="str">
        <x:v>Not started</x:v>
      </x:c>
    </x:row>
    <x:row r="11">
      <x:c r="A11" s="27" t="str">
        <x:v>Stabilize</x:v>
      </x:c>
      <x:c r="B11" s="27" t="str">
        <x:v>Observe and resolve post-cutover issues</x:v>
      </x:c>
      <x:c r="C11" s="27" t="str">
        <x:v>Incident/performance evidence</x:v>
      </x:c>
      <x:c r="D11" s="27" t="str">
        <x:v>Stability window passed</x:v>
      </x:c>
      <x:c r="E11" s="27" t="str"/>
      <x:c r="F11" s="27" t="str">
        <x:v>Not started</x:v>
      </x:c>
    </x:row>
    <x:row r="12">
      <x:c r="A12" s="27" t="str">
        <x:v>Decommission</x:v>
      </x:c>
      <x:c r="B12" s="27" t="str">
        <x:v>Retire source and cost</x:v>
      </x:c>
      <x:c r="C12" s="27" t="str">
        <x:v>Retirement approvals, CMDB update</x:v>
      </x:c>
      <x:c r="D12" s="27" t="str">
        <x:v>Legacy cost can be removed</x:v>
      </x:c>
      <x:c r="E12" s="27" t="str"/>
      <x:c r="F12" s="27" t="str">
        <x:v>Not started</x:v>
      </x:c>
    </x:row>
    <x:row r="13">
      <x:c r="A13" s="27"/>
      <x:c r="B13" s="27"/>
      <x:c r="C13" s="27"/>
      <x:c r="D13" s="27"/>
      <x:c r="E13" s="27"/>
      <x:c r="F13" s="27"/>
    </x:row>
  </x:sheetData>
  <x:mergeCells>
    <x:mergeCell ref="A1:F1"/>
  </x:mergeCells>
  <x:dataValidations count="1">
    <x:dataValidation type="list" sqref="F4:F12">
      <x:formula1>"Not started,In progress,Blocked,Complete"</x:formula1>
    </x:dataValidation>
  </x:dataValidations>
  <x:pageMargins left="0.7" right="0.7" top="0.75" bottom="0.75" header="0.3" footer="0.3"/>
</x:worksheet>
</file>